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ebastiancardona/Desktop/NORGTECH/GASTOS NORGTECH/"/>
    </mc:Choice>
  </mc:AlternateContent>
  <xr:revisionPtr revIDLastSave="0" documentId="13_ncr:1_{183B8066-E8B5-3F44-A39D-9EDE43499F7B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D63" i="1" s="1"/>
  <c r="C60" i="1"/>
  <c r="C67" i="1"/>
  <c r="D67" i="1" s="1"/>
  <c r="C66" i="1"/>
  <c r="D66" i="1" s="1"/>
  <c r="C65" i="1"/>
  <c r="D65" i="1" s="1"/>
  <c r="C64" i="1"/>
  <c r="D64" i="1" s="1"/>
  <c r="C62" i="1"/>
  <c r="D62" i="1" s="1"/>
  <c r="C61" i="1"/>
  <c r="D61" i="1" s="1"/>
  <c r="H53" i="1"/>
  <c r="C68" i="1" l="1"/>
  <c r="D60" i="1"/>
  <c r="D6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FINANCIERA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FINANCIERA:
Nombre del comercial que realiza la solicitud
</t>
        </r>
      </text>
    </comment>
    <comment ref="D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FINANCIERA:
Numero de cedula del comercial que realiza la solicitud</t>
        </r>
      </text>
    </comment>
    <comment ref="B3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FINANCIERA:
Datos de la ruta realizada o el motivo del viaje</t>
        </r>
      </text>
    </comment>
    <comment ref="E3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 xml:space="preserve">FINANCIERA:
Kilometraje del momento de iniciar la ruta, este se debe soportar con fotografia.
</t>
        </r>
      </text>
    </comment>
    <comment ref="F3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 xml:space="preserve">FINANCIERA:
Kilometraje del momento de finalizar la ruta, este se debe soportar con fotografia.
</t>
        </r>
      </text>
    </comment>
    <comment ref="G3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 xml:space="preserve">FINANCIERA:
Diferencia entre el kilometraje inicial y final
</t>
        </r>
      </text>
    </comment>
    <comment ref="A6" authorId="0" shapeId="0" xr:uid="{00000000-0006-0000-0000-000007000000}">
      <text>
        <r>
          <rPr>
            <sz val="11"/>
            <color rgb="FF000000"/>
            <rFont val="Aptos Narrow"/>
            <family val="2"/>
          </rPr>
          <t xml:space="preserve">FINANCIERA:
</t>
        </r>
        <r>
          <rPr>
            <sz val="11"/>
            <color rgb="FF000000"/>
            <rFont val="Aptos Narrow"/>
            <family val="2"/>
          </rPr>
          <t>Por favor, ingresa la fecha inicial de la solicitud de gasto en este campo</t>
        </r>
      </text>
    </comment>
    <comment ref="B6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FINANCIERA:
Por favor, ingresa la fecha final de la solicitud de gasto en este campo</t>
        </r>
      </text>
    </comment>
    <comment ref="A8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 xml:space="preserve">FINANCIERA:
En esta celda debe registrarse la fecha en que se realizó el gasto. </t>
        </r>
      </text>
    </comment>
    <comment ref="B8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FINANCIERA:
Seleccione una opción según el tipo de gasto, eligiendo entre: Alojamiento, Atenciones, Celular, Gastos Vehículo, Manutención, Mensajería, Peajes o Transporte."</t>
        </r>
      </text>
    </comment>
    <comment ref="C8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FINANCIERA:
Indique el nombre de la entidad o establecimiento donde se realizó el gasto</t>
        </r>
      </text>
    </comment>
    <comment ref="D8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FINANCIERA:
Digite el NIT de la entidad o establecimiento donde se efectuó el gasto.</t>
        </r>
      </text>
    </comment>
    <comment ref="E8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FINANCIERA:
Seleccione el tipo de moneda en la que se realizó el gasto</t>
        </r>
      </text>
    </comment>
    <comment ref="H8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FINANCIERA:
Ingrese el valor total del gasto en la moneda seleccionada</t>
        </r>
      </text>
    </comment>
    <comment ref="I8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 xml:space="preserve">FINANCIERA:
En esta celda debe indicarse la relación o justificación del gasto generado. </t>
        </r>
      </text>
    </comment>
  </commentList>
</comments>
</file>

<file path=xl/sharedStrings.xml><?xml version="1.0" encoding="utf-8"?>
<sst xmlns="http://schemas.openxmlformats.org/spreadsheetml/2006/main" count="108" uniqueCount="76">
  <si>
    <t>Norgtech S.A.</t>
  </si>
  <si>
    <t>SOLICITUD REINTEGRO GASTOS VIAJE</t>
  </si>
  <si>
    <t xml:space="preserve">Nombre : </t>
  </si>
  <si>
    <t>SEBASTIAN CARDONA INSIGNARES</t>
  </si>
  <si>
    <t>Cedula:</t>
  </si>
  <si>
    <t xml:space="preserve">RUTA: 
MOTIVO VIAJE : </t>
  </si>
  <si>
    <t>ZONA COSTA Y TRASLADO VEHICULO</t>
  </si>
  <si>
    <t>PLACA VEHICULO</t>
  </si>
  <si>
    <t>Km Inicio</t>
  </si>
  <si>
    <t>Km Fin</t>
  </si>
  <si>
    <t>Km Totales</t>
  </si>
  <si>
    <t># Informe</t>
  </si>
  <si>
    <t>Cambios de Divisas</t>
  </si>
  <si>
    <t>T. Anticipo</t>
  </si>
  <si>
    <t>Fecha Inicial</t>
  </si>
  <si>
    <t>Fecha Final</t>
  </si>
  <si>
    <t>Anticipo ó viene mes anterior :</t>
  </si>
  <si>
    <t xml:space="preserve">Tasa de Cambio : </t>
  </si>
  <si>
    <t>COP</t>
  </si>
  <si>
    <t>Fecha</t>
  </si>
  <si>
    <t>Concepto</t>
  </si>
  <si>
    <t>Nombre</t>
  </si>
  <si>
    <t>NIT</t>
  </si>
  <si>
    <t>MONEDA</t>
  </si>
  <si>
    <t>T. Gasto</t>
  </si>
  <si>
    <t>OBSERVACIONES</t>
  </si>
  <si>
    <t>La Porcetta Ranch</t>
  </si>
  <si>
    <t>901503289</t>
  </si>
  <si>
    <t>Inversiones SPRS S.A.S - Puerto Colombia</t>
  </si>
  <si>
    <t>902010439-4</t>
  </si>
  <si>
    <t>Renacimiento S.A.S - La Bonga del Sinu Express</t>
  </si>
  <si>
    <t>812002335-7</t>
  </si>
  <si>
    <t>Atenciones</t>
  </si>
  <si>
    <t>Inversiones Int Colombia SAS - KFC Monteria</t>
  </si>
  <si>
    <t>900.439.301-2</t>
  </si>
  <si>
    <t>Alojamiento</t>
  </si>
  <si>
    <t>Grupo Pani S.A.S - Ribera del Sinu Monteria</t>
  </si>
  <si>
    <t>900.993.290-4</t>
  </si>
  <si>
    <t>3 noches (04/05, 05/05, 06/05) a $120.000/noche + IVA $68.400 - Efectivo - Fact FE-11310</t>
  </si>
  <si>
    <t>Masser S.A.S - TDC Corozal</t>
  </si>
  <si>
    <t>900491889-0</t>
  </si>
  <si>
    <t xml:space="preserve">Total  Gastos : </t>
  </si>
  <si>
    <t xml:space="preserve">Saldo Favor norgtech S.A: </t>
  </si>
  <si>
    <t>APROBADO POR</t>
  </si>
  <si>
    <t>REVISADO POR</t>
  </si>
  <si>
    <t>FIRMA RESPONSABLE</t>
  </si>
  <si>
    <t xml:space="preserve">Saldo a Favor : </t>
  </si>
  <si>
    <t xml:space="preserve">Duración Viaje : </t>
  </si>
  <si>
    <t>CUADRO RESUMEN DE GASTOS DE VIAJE</t>
  </si>
  <si>
    <t>CONCEPTO</t>
  </si>
  <si>
    <t>Total</t>
  </si>
  <si>
    <t>Promedio Diario X Concepto</t>
  </si>
  <si>
    <t>Cambio Divisas</t>
  </si>
  <si>
    <t>Celular</t>
  </si>
  <si>
    <t>Gastos Vehículo</t>
  </si>
  <si>
    <t>Manutención</t>
  </si>
  <si>
    <t>Mensajería</t>
  </si>
  <si>
    <t>Peajes</t>
  </si>
  <si>
    <t>Transporte</t>
  </si>
  <si>
    <t>Total general</t>
  </si>
  <si>
    <t>almuerzo</t>
  </si>
  <si>
    <t>invitacion cliente willian ganem prospecto</t>
  </si>
  <si>
    <t>almuerzo y cena</t>
  </si>
  <si>
    <t>almuerzo con gustavo gomez</t>
  </si>
  <si>
    <t>PWT641</t>
  </si>
  <si>
    <t>invitacion cliente gabriel barandica prospecto</t>
  </si>
  <si>
    <t>EDS GREEN PARK SAS</t>
  </si>
  <si>
    <t>gasolina</t>
  </si>
  <si>
    <t>Estacion de Servicio Central Lorica Ltda.</t>
  </si>
  <si>
    <t>900.074.716-7</t>
  </si>
  <si>
    <t>Gasolina Corriente 6.064 GL a $16,490/GL - Efectivo - Lorica Cordoba</t>
  </si>
  <si>
    <t>Masser S.A.S - EDS Avenida</t>
  </si>
  <si>
    <t>Gasolina Corriente 6.262 GL a $15,970/GL - T.Debito - Fact KY63-113901</t>
  </si>
  <si>
    <t>Combured - EDS El Descanso</t>
  </si>
  <si>
    <t>900.675.169</t>
  </si>
  <si>
    <t>Gasolina Corriente 6.542 GL a $15,287/GL - Efectivo - Soledad Atlantico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</si>
</sst>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dd/mmm/yy\-\(ddd\)"/>
    <numFmt numFmtId="165" formatCode="&quot;$&quot;\ ?,???,??0"/>
    <numFmt numFmtId="166" formatCode="00&quot; Días&quot;"/>
    <numFmt numFmtId="167" formatCode="&quot;$&quot;\ ?,???,??0.00"/>
    <numFmt numFmtId="168" formatCode="ddd\,\ dd/mmm/yy"/>
    <numFmt numFmtId="169" formatCode="&quot;$&quot;\ ??,??0.00"/>
    <numFmt numFmtId="170" formatCode="dd/mm/yyyy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2"/>
      <name val="SciFly"/>
    </font>
    <font>
      <b/>
      <sz val="12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4"/>
      <color indexed="8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8"/>
      <name val="Arial"/>
      <family val="2"/>
    </font>
    <font>
      <b/>
      <sz val="16"/>
      <name val="Arial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0" fontId="4" fillId="0" borderId="0"/>
  </cellStyleXfs>
  <cellXfs count="118">
    <xf numFmtId="0" fontId="0" fillId="0" borderId="0" xfId="0"/>
    <xf numFmtId="0" fontId="0" fillId="3" borderId="7" xfId="0" applyFill="1" applyBorder="1" applyAlignment="1" applyProtection="1">
      <alignment horizontal="center" vertical="center" shrinkToFit="1"/>
      <protection locked="0"/>
    </xf>
    <xf numFmtId="164" fontId="0" fillId="3" borderId="7" xfId="0" applyNumberFormat="1" applyFill="1" applyBorder="1" applyAlignment="1" applyProtection="1">
      <alignment horizontal="center" vertical="center" shrinkToFit="1"/>
      <protection locked="0"/>
    </xf>
    <xf numFmtId="165" fontId="15" fillId="0" borderId="10" xfId="1" applyNumberFormat="1" applyFont="1" applyBorder="1" applyAlignment="1" applyProtection="1">
      <alignment horizontal="center" vertical="center" shrinkToFit="1"/>
      <protection hidden="1"/>
    </xf>
    <xf numFmtId="165" fontId="15" fillId="0" borderId="11" xfId="1" applyNumberFormat="1" applyFont="1" applyBorder="1" applyAlignment="1" applyProtection="1">
      <alignment horizontal="center" vertical="center" shrinkToFit="1"/>
      <protection hidden="1"/>
    </xf>
    <xf numFmtId="165" fontId="15" fillId="0" borderId="12" xfId="1" applyNumberFormat="1" applyFont="1" applyBorder="1" applyAlignment="1" applyProtection="1">
      <alignment horizontal="center" vertical="center" shrinkToFit="1"/>
      <protection hidden="1"/>
    </xf>
    <xf numFmtId="165" fontId="4" fillId="0" borderId="5" xfId="1" applyNumberFormat="1" applyFont="1" applyBorder="1" applyAlignment="1" applyProtection="1">
      <alignment horizontal="center" vertical="center" shrinkToFit="1"/>
      <protection hidden="1"/>
    </xf>
    <xf numFmtId="165" fontId="4" fillId="0" borderId="6" xfId="1" applyNumberFormat="1" applyFont="1" applyBorder="1" applyAlignment="1" applyProtection="1">
      <alignment horizontal="center" vertical="center" shrinkToFit="1"/>
      <protection hidden="1"/>
    </xf>
    <xf numFmtId="165" fontId="4" fillId="0" borderId="3" xfId="1" applyNumberFormat="1" applyFont="1" applyBorder="1" applyAlignment="1" applyProtection="1">
      <alignment horizontal="center" vertical="center" shrinkToFit="1"/>
      <protection hidden="1"/>
    </xf>
    <xf numFmtId="0" fontId="12" fillId="0" borderId="14" xfId="2" applyFont="1" applyBorder="1" applyAlignment="1" applyProtection="1">
      <alignment horizontal="center" vertical="center" shrinkToFit="1"/>
      <protection hidden="1"/>
    </xf>
    <xf numFmtId="0" fontId="12" fillId="0" borderId="15" xfId="2" applyFont="1" applyBorder="1" applyAlignment="1" applyProtection="1">
      <alignment horizontal="center" vertical="center" shrinkToFit="1"/>
      <protection hidden="1"/>
    </xf>
    <xf numFmtId="0" fontId="15" fillId="0" borderId="15" xfId="0" applyFont="1" applyBorder="1" applyAlignment="1" applyProtection="1">
      <alignment horizontal="center" vertical="center" shrinkToFit="1"/>
      <protection hidden="1"/>
    </xf>
    <xf numFmtId="165" fontId="4" fillId="0" borderId="15" xfId="1" applyNumberFormat="1" applyFont="1" applyBorder="1" applyAlignment="1" applyProtection="1">
      <alignment horizontal="center" vertical="center" shrinkToFit="1"/>
      <protection hidden="1"/>
    </xf>
    <xf numFmtId="165" fontId="4" fillId="0" borderId="16" xfId="1" applyNumberFormat="1" applyFont="1" applyBorder="1" applyAlignment="1" applyProtection="1">
      <alignment horizontal="center" vertical="center" shrinkToFit="1"/>
      <protection hidden="1"/>
    </xf>
    <xf numFmtId="165" fontId="4" fillId="0" borderId="17" xfId="1" applyNumberFormat="1" applyFont="1" applyBorder="1" applyAlignment="1" applyProtection="1">
      <alignment horizontal="center" vertical="center" shrinkToFit="1"/>
      <protection hidden="1"/>
    </xf>
    <xf numFmtId="166" fontId="11" fillId="0" borderId="2" xfId="0" applyNumberFormat="1" applyFont="1" applyBorder="1" applyAlignment="1" applyProtection="1">
      <alignment horizontal="center" vertical="center" shrinkToFit="1"/>
      <protection locked="0" hidden="1"/>
    </xf>
    <xf numFmtId="0" fontId="3" fillId="0" borderId="21" xfId="0" applyFont="1" applyBorder="1" applyAlignment="1" applyProtection="1">
      <alignment horizontal="center" vertical="center" shrinkToFit="1"/>
      <protection hidden="1"/>
    </xf>
    <xf numFmtId="167" fontId="7" fillId="0" borderId="24" xfId="0" applyNumberFormat="1" applyFont="1" applyBorder="1" applyAlignment="1" applyProtection="1">
      <alignment horizontal="center" shrinkToFit="1"/>
      <protection hidden="1"/>
    </xf>
    <xf numFmtId="167" fontId="7" fillId="4" borderId="27" xfId="0" applyNumberFormat="1" applyFont="1" applyFill="1" applyBorder="1" applyAlignment="1" applyProtection="1">
      <alignment horizontal="center" shrinkToFit="1"/>
      <protection hidden="1"/>
    </xf>
    <xf numFmtId="167" fontId="3" fillId="4" borderId="24" xfId="0" applyNumberFormat="1" applyFont="1" applyFill="1" applyBorder="1" applyAlignment="1" applyProtection="1">
      <alignment horizontal="center" shrinkToFit="1"/>
      <protection hidden="1"/>
    </xf>
    <xf numFmtId="14" fontId="0" fillId="5" borderId="7" xfId="0" applyNumberFormat="1" applyFill="1" applyBorder="1" applyAlignment="1" applyProtection="1">
      <alignment horizontal="center" vertical="center" shrinkToFit="1"/>
      <protection locked="0"/>
    </xf>
    <xf numFmtId="0" fontId="0" fillId="5" borderId="7" xfId="0" applyFill="1" applyBorder="1" applyAlignment="1" applyProtection="1">
      <alignment horizontal="center" vertical="center" shrinkToFit="1"/>
      <protection locked="0"/>
    </xf>
    <xf numFmtId="0" fontId="16" fillId="5" borderId="7" xfId="0" applyFont="1" applyFill="1" applyBorder="1" applyAlignment="1">
      <alignment horizontal="center"/>
    </xf>
    <xf numFmtId="164" fontId="0" fillId="5" borderId="7" xfId="0" applyNumberFormat="1" applyFill="1" applyBorder="1" applyAlignment="1" applyProtection="1">
      <alignment horizontal="center" vertical="center" shrinkToFit="1"/>
      <protection locked="0"/>
    </xf>
    <xf numFmtId="165" fontId="0" fillId="0" borderId="4" xfId="0" applyNumberFormat="1" applyBorder="1" applyAlignment="1" applyProtection="1">
      <alignment horizontal="center" vertical="center" shrinkToFit="1"/>
      <protection hidden="1"/>
    </xf>
    <xf numFmtId="0" fontId="11" fillId="0" borderId="8" xfId="0" applyFont="1" applyBorder="1" applyAlignment="1" applyProtection="1">
      <alignment horizontal="center" vertical="center" shrinkToFit="1"/>
      <protection hidden="1"/>
    </xf>
    <xf numFmtId="0" fontId="15" fillId="0" borderId="9" xfId="0" applyFont="1" applyBorder="1" applyAlignment="1" applyProtection="1">
      <alignment horizontal="center" vertical="center" shrinkToFit="1"/>
      <protection hidden="1"/>
    </xf>
    <xf numFmtId="0" fontId="3" fillId="0" borderId="9" xfId="0" applyFont="1" applyBorder="1" applyAlignment="1" applyProtection="1">
      <alignment horizontal="center" vertical="center" shrinkToFit="1"/>
      <protection hidden="1"/>
    </xf>
    <xf numFmtId="0" fontId="3" fillId="0" borderId="31" xfId="0" applyFont="1" applyBorder="1" applyAlignment="1" applyProtection="1">
      <alignment horizontal="center" vertical="center" shrinkToFit="1"/>
      <protection hidden="1"/>
    </xf>
    <xf numFmtId="0" fontId="3" fillId="5" borderId="5" xfId="0" applyFont="1" applyFill="1" applyBorder="1" applyAlignment="1" applyProtection="1">
      <alignment horizontal="center" vertical="center" shrinkToFit="1"/>
      <protection hidden="1"/>
    </xf>
    <xf numFmtId="0" fontId="9" fillId="0" borderId="7" xfId="2" applyFont="1" applyBorder="1" applyAlignment="1" applyProtection="1">
      <alignment horizontal="center" shrinkToFit="1"/>
      <protection hidden="1"/>
    </xf>
    <xf numFmtId="0" fontId="10" fillId="0" borderId="7" xfId="2" applyFont="1" applyBorder="1" applyAlignment="1" applyProtection="1">
      <alignment horizontal="center" shrinkToFit="1"/>
      <protection hidden="1"/>
    </xf>
    <xf numFmtId="0" fontId="11" fillId="0" borderId="7" xfId="2" applyFont="1" applyBorder="1" applyAlignment="1" applyProtection="1">
      <alignment horizontal="center" vertical="center" shrinkToFit="1"/>
      <protection hidden="1"/>
    </xf>
    <xf numFmtId="0" fontId="12" fillId="3" borderId="7" xfId="2" applyFont="1" applyFill="1" applyBorder="1" applyAlignment="1" applyProtection="1">
      <alignment horizontal="center" vertical="center" shrinkToFit="1"/>
      <protection locked="0"/>
    </xf>
    <xf numFmtId="3" fontId="13" fillId="3" borderId="7" xfId="2" applyNumberFormat="1" applyFont="1" applyFill="1" applyBorder="1" applyAlignment="1" applyProtection="1">
      <alignment horizontal="center" vertical="center" shrinkToFit="1"/>
      <protection locked="0"/>
    </xf>
    <xf numFmtId="3" fontId="13" fillId="0" borderId="7" xfId="2" applyNumberFormat="1" applyFont="1" applyBorder="1" applyAlignment="1" applyProtection="1">
      <alignment horizontal="center" vertical="center" shrinkToFit="1"/>
      <protection hidden="1"/>
    </xf>
    <xf numFmtId="2" fontId="14" fillId="3" borderId="7" xfId="2" quotePrefix="1" applyNumberFormat="1" applyFont="1" applyFill="1" applyBorder="1" applyAlignment="1" applyProtection="1">
      <alignment horizontal="center" vertical="center" shrinkToFit="1"/>
      <protection locked="0"/>
    </xf>
    <xf numFmtId="0" fontId="4" fillId="0" borderId="7" xfId="1" applyNumberFormat="1" applyFont="1" applyBorder="1" applyAlignment="1" applyProtection="1">
      <alignment horizontal="center" shrinkToFit="1"/>
      <protection hidden="1"/>
    </xf>
    <xf numFmtId="0" fontId="12" fillId="0" borderId="7" xfId="2" applyFont="1" applyBorder="1" applyAlignment="1" applyProtection="1">
      <alignment horizontal="center" shrinkToFit="1"/>
      <protection hidden="1"/>
    </xf>
    <xf numFmtId="165" fontId="4" fillId="2" borderId="7" xfId="1" applyNumberFormat="1" applyFont="1" applyFill="1" applyBorder="1" applyAlignment="1" applyProtection="1">
      <alignment horizontal="center" vertical="center" shrinkToFit="1"/>
      <protection locked="0"/>
    </xf>
    <xf numFmtId="165" fontId="4" fillId="2" borderId="7" xfId="1" applyNumberFormat="1" applyFont="1" applyFill="1" applyBorder="1" applyAlignment="1" applyProtection="1">
      <alignment horizontal="center" vertical="center" shrinkToFit="1"/>
      <protection locked="0" hidden="1"/>
    </xf>
    <xf numFmtId="165" fontId="4" fillId="0" borderId="7" xfId="1" applyNumberFormat="1" applyFont="1" applyBorder="1" applyAlignment="1" applyProtection="1">
      <alignment horizontal="center" vertical="center" shrinkToFit="1"/>
      <protection hidden="1"/>
    </xf>
    <xf numFmtId="168" fontId="5" fillId="0" borderId="7" xfId="2" applyNumberFormat="1" applyFont="1" applyBorder="1" applyAlignment="1" applyProtection="1">
      <alignment horizontal="center" vertical="center" shrinkToFit="1"/>
      <protection hidden="1"/>
    </xf>
    <xf numFmtId="168" fontId="5" fillId="0" borderId="7" xfId="2" applyNumberFormat="1" applyFont="1" applyBorder="1" applyAlignment="1" applyProtection="1">
      <alignment horizontal="center" vertical="center" shrinkToFit="1"/>
      <protection locked="0" hidden="1"/>
    </xf>
    <xf numFmtId="169" fontId="0" fillId="3" borderId="7" xfId="0" applyNumberFormat="1" applyFill="1" applyBorder="1" applyAlignment="1" applyProtection="1">
      <alignment horizontal="center" shrinkToFit="1"/>
      <protection locked="0"/>
    </xf>
    <xf numFmtId="167" fontId="15" fillId="0" borderId="7" xfId="0" applyNumberFormat="1" applyFont="1" applyBorder="1" applyAlignment="1" applyProtection="1">
      <alignment horizontal="center" shrinkToFit="1"/>
      <protection hidden="1"/>
    </xf>
    <xf numFmtId="165" fontId="0" fillId="5" borderId="32" xfId="0" applyNumberFormat="1" applyFill="1" applyBorder="1" applyAlignment="1" applyProtection="1">
      <alignment horizontal="center" vertical="center" shrinkToFit="1"/>
      <protection hidden="1"/>
    </xf>
    <xf numFmtId="0" fontId="0" fillId="0" borderId="0" xfId="0" applyAlignment="1">
      <alignment horizontal="center"/>
    </xf>
    <xf numFmtId="0" fontId="5" fillId="0" borderId="7" xfId="2" applyFont="1" applyBorder="1" applyAlignment="1" applyProtection="1">
      <alignment horizontal="center" vertical="center" shrinkToFit="1"/>
      <protection hidden="1"/>
    </xf>
    <xf numFmtId="0" fontId="0" fillId="0" borderId="7" xfId="0" applyBorder="1" applyAlignment="1">
      <alignment horizontal="center"/>
    </xf>
    <xf numFmtId="0" fontId="0" fillId="0" borderId="7" xfId="0" applyBorder="1" applyAlignment="1" applyProtection="1">
      <alignment horizontal="center" shrinkToFit="1"/>
      <protection hidden="1"/>
    </xf>
    <xf numFmtId="0" fontId="0" fillId="5" borderId="7" xfId="0" applyFill="1" applyBorder="1" applyAlignment="1" applyProtection="1">
      <alignment horizontal="center" vertical="center" shrinkToFit="1"/>
      <protection hidden="1"/>
    </xf>
    <xf numFmtId="0" fontId="0" fillId="5" borderId="7" xfId="0" applyFill="1" applyBorder="1" applyAlignment="1" applyProtection="1">
      <alignment horizontal="center" vertical="center" wrapText="1" shrinkToFit="1"/>
      <protection locked="0"/>
    </xf>
    <xf numFmtId="0" fontId="0" fillId="5" borderId="7" xfId="0" applyFill="1" applyBorder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0" fontId="0" fillId="3" borderId="7" xfId="0" applyFill="1" applyBorder="1" applyAlignment="1" applyProtection="1">
      <alignment horizontal="center" vertical="center" wrapText="1" shrinkToFit="1"/>
      <protection locked="0"/>
    </xf>
    <xf numFmtId="0" fontId="15" fillId="0" borderId="10" xfId="0" applyFont="1" applyBorder="1" applyAlignment="1" applyProtection="1">
      <alignment horizontal="center" vertical="center" shrinkToFit="1"/>
      <protection hidden="1"/>
    </xf>
    <xf numFmtId="0" fontId="15" fillId="0" borderId="5" xfId="0" applyFont="1" applyBorder="1" applyAlignment="1" applyProtection="1">
      <alignment horizontal="center" vertical="center" wrapText="1" shrinkToFit="1"/>
      <protection hidden="1"/>
    </xf>
    <xf numFmtId="0" fontId="17" fillId="0" borderId="15" xfId="0" applyFont="1" applyBorder="1" applyAlignment="1" applyProtection="1">
      <alignment horizontal="center" vertical="center" wrapText="1" shrinkToFit="1"/>
      <protection hidden="1"/>
    </xf>
    <xf numFmtId="0" fontId="0" fillId="0" borderId="0" xfId="0" applyAlignment="1">
      <alignment horizontal="center" shrinkToFit="1"/>
    </xf>
    <xf numFmtId="165" fontId="0" fillId="0" borderId="0" xfId="0" applyNumberFormat="1" applyAlignment="1">
      <alignment horizontal="center" shrinkToFit="1"/>
    </xf>
    <xf numFmtId="0" fontId="15" fillId="0" borderId="1" xfId="0" applyFont="1" applyBorder="1" applyAlignment="1" applyProtection="1">
      <alignment horizontal="center" vertical="center" shrinkToFit="1"/>
      <protection hidden="1"/>
    </xf>
    <xf numFmtId="170" fontId="0" fillId="5" borderId="7" xfId="0" applyNumberFormat="1" applyFill="1" applyBorder="1" applyAlignment="1" applyProtection="1">
      <alignment horizontal="center" vertical="center" shrinkToFit="1"/>
      <protection locked="0"/>
    </xf>
    <xf numFmtId="170" fontId="0" fillId="5" borderId="7" xfId="0" applyNumberFormat="1" applyFill="1" applyBorder="1" applyAlignment="1">
      <alignment horizontal="center"/>
    </xf>
    <xf numFmtId="0" fontId="18" fillId="0" borderId="7" xfId="0" applyFont="1" applyBorder="1" applyAlignment="1" applyProtection="1">
      <alignment horizontal="center" vertical="center" shrinkToFit="1"/>
      <protection hidden="1"/>
    </xf>
    <xf numFmtId="0" fontId="0" fillId="0" borderId="32" xfId="0" applyBorder="1" applyProtection="1">
      <protection hidden="1"/>
    </xf>
    <xf numFmtId="0" fontId="0" fillId="0" borderId="34" xfId="0" applyBorder="1" applyProtection="1">
      <protection hidden="1"/>
    </xf>
    <xf numFmtId="167" fontId="7" fillId="4" borderId="36" xfId="0" applyNumberFormat="1" applyFont="1" applyFill="1" applyBorder="1" applyAlignment="1" applyProtection="1">
      <alignment horizontal="center" shrinkToFit="1"/>
      <protection hidden="1"/>
    </xf>
    <xf numFmtId="0" fontId="0" fillId="0" borderId="28" xfId="0" applyBorder="1" applyProtection="1">
      <protection hidden="1"/>
    </xf>
    <xf numFmtId="0" fontId="3" fillId="3" borderId="7" xfId="0" applyFont="1" applyFill="1" applyBorder="1" applyAlignment="1" applyProtection="1">
      <alignment horizontal="center" vertical="center" shrinkToFit="1"/>
      <protection locked="0"/>
    </xf>
    <xf numFmtId="0" fontId="0" fillId="0" borderId="32" xfId="0" applyBorder="1" applyProtection="1">
      <protection locked="0"/>
    </xf>
    <xf numFmtId="0" fontId="0" fillId="0" borderId="34" xfId="0" applyBorder="1" applyProtection="1">
      <protection locked="0"/>
    </xf>
    <xf numFmtId="0" fontId="5" fillId="0" borderId="7" xfId="2" applyFont="1" applyBorder="1" applyAlignment="1" applyProtection="1">
      <alignment horizontal="center" vertical="center" shrinkToFit="1"/>
      <protection hidden="1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8" fillId="0" borderId="7" xfId="2" applyFont="1" applyBorder="1" applyAlignment="1" applyProtection="1">
      <alignment horizontal="center" vertical="center" wrapText="1" shrinkToFit="1"/>
      <protection hidden="1"/>
    </xf>
    <xf numFmtId="0" fontId="0" fillId="0" borderId="5" xfId="0" applyBorder="1" applyProtection="1">
      <protection hidden="1"/>
    </xf>
    <xf numFmtId="0" fontId="4" fillId="0" borderId="13" xfId="2" applyBorder="1" applyAlignment="1" applyProtection="1">
      <alignment horizontal="center" vertical="center" wrapText="1" shrinkToFit="1"/>
      <protection locked="0"/>
    </xf>
    <xf numFmtId="0" fontId="0" fillId="0" borderId="13" xfId="0" applyBorder="1" applyProtection="1">
      <protection locked="0"/>
    </xf>
    <xf numFmtId="0" fontId="4" fillId="0" borderId="5" xfId="0" applyFont="1" applyBorder="1" applyAlignment="1" applyProtection="1">
      <alignment horizontal="center" vertical="center" wrapText="1" shrinkToFit="1"/>
      <protection locked="0"/>
    </xf>
    <xf numFmtId="0" fontId="0" fillId="0" borderId="5" xfId="0" applyBorder="1" applyProtection="1">
      <protection locked="0"/>
    </xf>
    <xf numFmtId="0" fontId="3" fillId="4" borderId="40" xfId="0" applyFont="1" applyFill="1" applyBorder="1" applyAlignment="1" applyProtection="1">
      <alignment horizontal="center" vertical="center" shrinkToFit="1"/>
      <protection hidden="1"/>
    </xf>
    <xf numFmtId="0" fontId="0" fillId="0" borderId="29" xfId="0" applyBorder="1" applyProtection="1">
      <protection hidden="1"/>
    </xf>
    <xf numFmtId="0" fontId="4" fillId="0" borderId="7" xfId="1" applyNumberFormat="1" applyFont="1" applyBorder="1" applyAlignment="1" applyProtection="1">
      <alignment horizontal="center" vertical="center" shrinkToFit="1"/>
      <protection hidden="1"/>
    </xf>
    <xf numFmtId="0" fontId="3" fillId="0" borderId="46" xfId="0" applyFont="1" applyBorder="1" applyAlignment="1" applyProtection="1">
      <alignment horizontal="center" vertical="center" shrinkToFit="1"/>
      <protection hidden="1"/>
    </xf>
    <xf numFmtId="0" fontId="0" fillId="0" borderId="33" xfId="0" applyBorder="1" applyProtection="1">
      <protection hidden="1"/>
    </xf>
    <xf numFmtId="165" fontId="0" fillId="3" borderId="7" xfId="0" applyNumberFormat="1" applyFill="1" applyBorder="1" applyAlignment="1" applyProtection="1">
      <alignment horizontal="center" vertical="center" shrinkToFit="1"/>
      <protection locked="0"/>
    </xf>
    <xf numFmtId="0" fontId="12" fillId="0" borderId="5" xfId="2" applyFont="1" applyBorder="1" applyAlignment="1" applyProtection="1">
      <alignment horizontal="center" vertical="center" wrapText="1" shrinkToFit="1"/>
      <protection locked="0"/>
    </xf>
    <xf numFmtId="0" fontId="3" fillId="0" borderId="37" xfId="0" applyFont="1" applyBorder="1" applyAlignment="1" applyProtection="1">
      <alignment horizontal="center" vertical="center" shrinkToFit="1"/>
      <protection hidden="1"/>
    </xf>
    <xf numFmtId="0" fontId="0" fillId="0" borderId="23" xfId="0" applyBorder="1" applyProtection="1">
      <protection hidden="1"/>
    </xf>
    <xf numFmtId="0" fontId="2" fillId="0" borderId="7" xfId="0" applyFont="1" applyBorder="1" applyAlignment="1" applyProtection="1">
      <alignment horizontal="center" vertical="center" shrinkToFit="1"/>
      <protection hidden="1"/>
    </xf>
    <xf numFmtId="0" fontId="3" fillId="4" borderId="35" xfId="0" applyFont="1" applyFill="1" applyBorder="1" applyAlignment="1" applyProtection="1">
      <alignment horizontal="center" vertical="center" shrinkToFit="1"/>
      <protection hidden="1"/>
    </xf>
    <xf numFmtId="0" fontId="0" fillId="0" borderId="30" xfId="0" applyBorder="1" applyProtection="1">
      <protection hidden="1"/>
    </xf>
    <xf numFmtId="0" fontId="4" fillId="3" borderId="7" xfId="2" applyFill="1" applyBorder="1" applyAlignment="1" applyProtection="1">
      <alignment horizontal="center" vertical="center" wrapText="1" shrinkToFit="1"/>
      <protection locked="0"/>
    </xf>
    <xf numFmtId="0" fontId="0" fillId="0" borderId="39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45" xfId="0" applyBorder="1" applyProtection="1">
      <protection locked="0"/>
    </xf>
    <xf numFmtId="0" fontId="7" fillId="2" borderId="7" xfId="0" applyFont="1" applyFill="1" applyBorder="1" applyAlignment="1" applyProtection="1">
      <alignment horizontal="center" vertical="center" shrinkToFit="1"/>
      <protection locked="0" hidden="1"/>
    </xf>
    <xf numFmtId="0" fontId="0" fillId="0" borderId="32" xfId="0" applyBorder="1" applyProtection="1">
      <protection locked="0" hidden="1"/>
    </xf>
    <xf numFmtId="0" fontId="0" fillId="0" borderId="34" xfId="0" applyBorder="1" applyProtection="1">
      <protection locked="0" hidden="1"/>
    </xf>
    <xf numFmtId="0" fontId="6" fillId="2" borderId="7" xfId="2" applyFont="1" applyFill="1" applyBorder="1" applyAlignment="1" applyProtection="1">
      <alignment horizontal="center" vertical="center" shrinkToFit="1"/>
      <protection locked="0" hidden="1"/>
    </xf>
    <xf numFmtId="0" fontId="3" fillId="4" borderId="37" xfId="0" applyFont="1" applyFill="1" applyBorder="1" applyAlignment="1" applyProtection="1">
      <alignment horizontal="center" vertical="center" shrinkToFit="1"/>
      <protection hidden="1"/>
    </xf>
    <xf numFmtId="167" fontId="7" fillId="0" borderId="38" xfId="0" applyNumberFormat="1" applyFont="1" applyBorder="1" applyAlignment="1" applyProtection="1">
      <alignment horizontal="center" shrinkToFit="1"/>
      <protection hidden="1"/>
    </xf>
    <xf numFmtId="0" fontId="0" fillId="0" borderId="25" xfId="0" applyBorder="1" applyProtection="1">
      <protection hidden="1"/>
    </xf>
    <xf numFmtId="167" fontId="3" fillId="4" borderId="38" xfId="0" applyNumberFormat="1" applyFont="1" applyFill="1" applyBorder="1" applyAlignment="1" applyProtection="1">
      <alignment horizontal="center" shrinkToFit="1"/>
      <protection hidden="1"/>
    </xf>
    <xf numFmtId="0" fontId="3" fillId="4" borderId="41" xfId="0" applyFont="1" applyFill="1" applyBorder="1" applyAlignment="1" applyProtection="1">
      <alignment horizontal="center" vertical="center" shrinkToFit="1"/>
      <protection hidden="1"/>
    </xf>
    <xf numFmtId="0" fontId="0" fillId="0" borderId="26" xfId="0" applyBorder="1" applyProtection="1">
      <protection hidden="1"/>
    </xf>
    <xf numFmtId="0" fontId="3" fillId="0" borderId="42" xfId="0" applyFont="1" applyBorder="1" applyAlignment="1" applyProtection="1">
      <alignment horizontal="center" vertical="center" shrinkToFit="1"/>
      <protection hidden="1"/>
    </xf>
    <xf numFmtId="0" fontId="0" fillId="0" borderId="18" xfId="0" applyBorder="1" applyProtection="1">
      <protection hidden="1"/>
    </xf>
    <xf numFmtId="0" fontId="0" fillId="0" borderId="19" xfId="0" applyBorder="1" applyProtection="1">
      <protection hidden="1"/>
    </xf>
    <xf numFmtId="0" fontId="3" fillId="0" borderId="44" xfId="0" applyFont="1" applyBorder="1" applyAlignment="1" applyProtection="1">
      <alignment horizontal="center" vertical="center" shrinkToFit="1"/>
      <protection hidden="1"/>
    </xf>
    <xf numFmtId="0" fontId="0" fillId="0" borderId="22" xfId="0" applyBorder="1" applyProtection="1">
      <protection hidden="1"/>
    </xf>
    <xf numFmtId="0" fontId="15" fillId="0" borderId="7" xfId="0" applyFont="1" applyBorder="1" applyAlignment="1" applyProtection="1">
      <alignment horizontal="center" vertical="center" shrinkToFit="1"/>
      <protection hidden="1"/>
    </xf>
    <xf numFmtId="0" fontId="0" fillId="0" borderId="7" xfId="0" applyBorder="1" applyAlignment="1" applyProtection="1">
      <alignment horizontal="center" shrinkToFit="1"/>
      <protection hidden="1"/>
    </xf>
    <xf numFmtId="0" fontId="3" fillId="0" borderId="43" xfId="0" applyFont="1" applyBorder="1" applyAlignment="1" applyProtection="1">
      <alignment horizontal="center" vertical="center" shrinkToFit="1"/>
      <protection hidden="1"/>
    </xf>
    <xf numFmtId="0" fontId="0" fillId="0" borderId="20" xfId="0" applyBorder="1" applyProtection="1">
      <protection hidden="1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zoomScale="130" zoomScaleNormal="130" workbookViewId="0">
      <selection activeCell="C24" sqref="C24"/>
    </sheetView>
  </sheetViews>
  <sheetFormatPr baseColWidth="10" defaultColWidth="10.83203125" defaultRowHeight="15"/>
  <cols>
    <col min="1" max="1" width="16.33203125" style="47" bestFit="1" customWidth="1"/>
    <col min="2" max="2" width="15.1640625" style="47" bestFit="1" customWidth="1"/>
    <col min="3" max="3" width="33.83203125" style="47" customWidth="1"/>
    <col min="4" max="4" width="14.33203125" style="47" bestFit="1" customWidth="1"/>
    <col min="5" max="7" width="10.83203125" style="47" customWidth="1"/>
    <col min="8" max="8" width="17.83203125" style="47" customWidth="1"/>
    <col min="9" max="9" width="83.83203125" style="47" bestFit="1" customWidth="1"/>
    <col min="10" max="10" width="14.33203125" style="47" bestFit="1" customWidth="1"/>
    <col min="11" max="11" width="10.83203125" style="47" customWidth="1"/>
    <col min="12" max="16384" width="10.83203125" style="47"/>
  </cols>
  <sheetData>
    <row r="1" spans="1:11" ht="28" customHeight="1">
      <c r="A1" s="92" t="s">
        <v>0</v>
      </c>
      <c r="B1" s="67"/>
      <c r="C1" s="65" t="s">
        <v>1</v>
      </c>
      <c r="D1" s="66"/>
      <c r="E1" s="66"/>
      <c r="F1" s="66"/>
      <c r="G1" s="66"/>
      <c r="H1" s="66"/>
      <c r="I1" s="67"/>
    </row>
    <row r="2" spans="1:11" ht="39" customHeight="1">
      <c r="A2" s="48" t="s">
        <v>2</v>
      </c>
      <c r="B2" s="102" t="s">
        <v>3</v>
      </c>
      <c r="C2" s="101"/>
      <c r="D2" s="73" t="s">
        <v>4</v>
      </c>
      <c r="E2" s="67"/>
      <c r="F2" s="99">
        <v>1045740182</v>
      </c>
      <c r="G2" s="100"/>
      <c r="H2" s="100"/>
      <c r="I2" s="101"/>
    </row>
    <row r="3" spans="1:11">
      <c r="A3" s="77" t="s">
        <v>5</v>
      </c>
      <c r="B3" s="95" t="s">
        <v>6</v>
      </c>
      <c r="C3" s="96"/>
      <c r="D3" s="30" t="s">
        <v>7</v>
      </c>
      <c r="E3" s="31" t="s">
        <v>8</v>
      </c>
      <c r="F3" s="31" t="s">
        <v>9</v>
      </c>
      <c r="G3" s="31" t="s">
        <v>10</v>
      </c>
      <c r="H3" s="32" t="s">
        <v>11</v>
      </c>
      <c r="I3" s="74"/>
    </row>
    <row r="4" spans="1:11" ht="16" customHeight="1">
      <c r="A4" s="78"/>
      <c r="B4" s="97"/>
      <c r="C4" s="98"/>
      <c r="D4" s="33" t="s">
        <v>64</v>
      </c>
      <c r="E4" s="34"/>
      <c r="F4" s="34"/>
      <c r="G4" s="35"/>
      <c r="H4" s="36">
        <v>2</v>
      </c>
      <c r="I4" s="75"/>
    </row>
    <row r="5" spans="1:11">
      <c r="A5" s="49"/>
      <c r="B5" s="49"/>
      <c r="C5" s="49"/>
      <c r="D5" s="49"/>
      <c r="E5" s="49"/>
      <c r="F5" s="85" t="s">
        <v>12</v>
      </c>
      <c r="G5" s="67"/>
      <c r="H5" s="37" t="s">
        <v>13</v>
      </c>
      <c r="I5" s="75"/>
    </row>
    <row r="6" spans="1:11">
      <c r="A6" s="38" t="s">
        <v>14</v>
      </c>
      <c r="B6" s="38" t="s">
        <v>15</v>
      </c>
      <c r="C6" s="114" t="s">
        <v>16</v>
      </c>
      <c r="D6" s="67"/>
      <c r="E6" s="39">
        <v>0</v>
      </c>
      <c r="F6" s="40">
        <v>0</v>
      </c>
      <c r="G6" s="40">
        <v>0</v>
      </c>
      <c r="H6" s="41">
        <v>0</v>
      </c>
      <c r="I6" s="75"/>
    </row>
    <row r="7" spans="1:11">
      <c r="A7" s="42"/>
      <c r="B7" s="43"/>
      <c r="C7" s="50" t="s">
        <v>16</v>
      </c>
      <c r="D7" s="115" t="s">
        <v>17</v>
      </c>
      <c r="E7" s="67"/>
      <c r="F7" s="44"/>
      <c r="G7" s="44"/>
      <c r="H7" s="45" t="s">
        <v>18</v>
      </c>
      <c r="I7" s="76"/>
    </row>
    <row r="8" spans="1:11" ht="16" customHeight="1">
      <c r="A8" s="25" t="s">
        <v>19</v>
      </c>
      <c r="B8" s="26" t="s">
        <v>20</v>
      </c>
      <c r="C8" s="27" t="s">
        <v>21</v>
      </c>
      <c r="D8" s="27" t="s">
        <v>22</v>
      </c>
      <c r="E8" s="86" t="s">
        <v>23</v>
      </c>
      <c r="F8" s="66"/>
      <c r="G8" s="87"/>
      <c r="H8" s="28" t="s">
        <v>24</v>
      </c>
      <c r="I8" s="29" t="s">
        <v>25</v>
      </c>
    </row>
    <row r="9" spans="1:11" ht="16" customHeight="1">
      <c r="A9" s="63">
        <v>46140</v>
      </c>
      <c r="B9" s="51" t="s">
        <v>32</v>
      </c>
      <c r="C9" s="52" t="s">
        <v>26</v>
      </c>
      <c r="D9" s="21" t="s">
        <v>27</v>
      </c>
      <c r="E9" s="70" t="s">
        <v>18</v>
      </c>
      <c r="F9" s="71"/>
      <c r="G9" s="72"/>
      <c r="H9" s="46">
        <v>35509</v>
      </c>
      <c r="I9" s="53" t="s">
        <v>60</v>
      </c>
      <c r="K9" s="54"/>
    </row>
    <row r="10" spans="1:11" ht="16" customHeight="1">
      <c r="A10" s="63">
        <v>46140</v>
      </c>
      <c r="B10" s="51" t="s">
        <v>32</v>
      </c>
      <c r="C10" s="52" t="s">
        <v>28</v>
      </c>
      <c r="D10" s="21" t="s">
        <v>29</v>
      </c>
      <c r="E10" s="70" t="s">
        <v>18</v>
      </c>
      <c r="F10" s="71"/>
      <c r="G10" s="72"/>
      <c r="H10" s="46">
        <v>74500</v>
      </c>
      <c r="I10" s="53" t="s">
        <v>61</v>
      </c>
    </row>
    <row r="11" spans="1:11" ht="16" customHeight="1">
      <c r="A11" s="63">
        <v>46147</v>
      </c>
      <c r="B11" s="51" t="s">
        <v>32</v>
      </c>
      <c r="C11" s="52" t="s">
        <v>30</v>
      </c>
      <c r="D11" s="21" t="s">
        <v>31</v>
      </c>
      <c r="E11" s="70" t="s">
        <v>18</v>
      </c>
      <c r="F11" s="71"/>
      <c r="G11" s="72"/>
      <c r="H11" s="46">
        <v>72900</v>
      </c>
      <c r="I11" s="53" t="s">
        <v>62</v>
      </c>
    </row>
    <row r="12" spans="1:11" ht="19.5" customHeight="1">
      <c r="A12" s="63">
        <v>46148</v>
      </c>
      <c r="B12" s="51" t="s">
        <v>32</v>
      </c>
      <c r="C12" s="52" t="s">
        <v>33</v>
      </c>
      <c r="D12" s="21" t="s">
        <v>34</v>
      </c>
      <c r="E12" s="70" t="s">
        <v>18</v>
      </c>
      <c r="F12" s="71"/>
      <c r="G12" s="72"/>
      <c r="H12" s="46">
        <v>35800</v>
      </c>
      <c r="I12" s="53" t="s">
        <v>60</v>
      </c>
    </row>
    <row r="13" spans="1:11" ht="22" customHeight="1">
      <c r="A13" s="64">
        <v>46149</v>
      </c>
      <c r="B13" s="51" t="s">
        <v>35</v>
      </c>
      <c r="C13" s="22" t="s">
        <v>36</v>
      </c>
      <c r="D13" s="22" t="s">
        <v>37</v>
      </c>
      <c r="E13" s="70" t="s">
        <v>18</v>
      </c>
      <c r="F13" s="71"/>
      <c r="G13" s="72"/>
      <c r="H13" s="46">
        <v>428400</v>
      </c>
      <c r="I13" s="53" t="s">
        <v>38</v>
      </c>
    </row>
    <row r="14" spans="1:11" ht="24.5" customHeight="1">
      <c r="A14" s="63">
        <v>46149</v>
      </c>
      <c r="B14" s="51" t="s">
        <v>32</v>
      </c>
      <c r="C14" s="52" t="s">
        <v>39</v>
      </c>
      <c r="D14" s="21" t="s">
        <v>40</v>
      </c>
      <c r="E14" s="70" t="s">
        <v>18</v>
      </c>
      <c r="F14" s="71"/>
      <c r="G14" s="72"/>
      <c r="H14" s="46">
        <v>34501</v>
      </c>
      <c r="I14" s="53" t="s">
        <v>60</v>
      </c>
    </row>
    <row r="15" spans="1:11" ht="16" customHeight="1">
      <c r="A15" s="63">
        <v>46149</v>
      </c>
      <c r="B15" s="51" t="s">
        <v>32</v>
      </c>
      <c r="C15" s="52" t="s">
        <v>26</v>
      </c>
      <c r="D15" s="22" t="s">
        <v>27</v>
      </c>
      <c r="E15" s="70" t="s">
        <v>18</v>
      </c>
      <c r="F15" s="71"/>
      <c r="G15" s="72"/>
      <c r="H15" s="46">
        <v>66648</v>
      </c>
      <c r="I15" s="53" t="s">
        <v>63</v>
      </c>
    </row>
    <row r="16" spans="1:11" ht="16" customHeight="1">
      <c r="A16" s="63">
        <v>46139</v>
      </c>
      <c r="B16" s="51" t="s">
        <v>32</v>
      </c>
      <c r="C16" s="52" t="s">
        <v>28</v>
      </c>
      <c r="D16" s="21" t="s">
        <v>29</v>
      </c>
      <c r="E16" s="70" t="s">
        <v>18</v>
      </c>
      <c r="F16" s="71"/>
      <c r="G16" s="72"/>
      <c r="H16" s="46">
        <v>81400</v>
      </c>
      <c r="I16" s="53" t="s">
        <v>65</v>
      </c>
    </row>
    <row r="17" spans="1:10" ht="14.25" customHeight="1">
      <c r="A17" s="20">
        <v>46139</v>
      </c>
      <c r="B17" s="51" t="s">
        <v>54</v>
      </c>
      <c r="C17" s="52" t="s">
        <v>66</v>
      </c>
      <c r="D17" s="21">
        <v>901289710</v>
      </c>
      <c r="E17" s="70" t="s">
        <v>18</v>
      </c>
      <c r="F17" s="71"/>
      <c r="G17" s="72"/>
      <c r="H17" s="46">
        <v>100000</v>
      </c>
      <c r="I17" s="53" t="s">
        <v>67</v>
      </c>
    </row>
    <row r="18" spans="1:10" ht="24.5" customHeight="1">
      <c r="A18" s="63">
        <v>46146</v>
      </c>
      <c r="B18" s="51" t="s">
        <v>54</v>
      </c>
      <c r="C18" s="52" t="s">
        <v>68</v>
      </c>
      <c r="D18" s="21" t="s">
        <v>69</v>
      </c>
      <c r="E18" s="70" t="s">
        <v>18</v>
      </c>
      <c r="F18" s="71"/>
      <c r="G18" s="72"/>
      <c r="H18" s="46">
        <v>100000</v>
      </c>
      <c r="I18" s="53" t="s">
        <v>70</v>
      </c>
    </row>
    <row r="19" spans="1:10" ht="14.25" customHeight="1">
      <c r="A19" s="63">
        <v>46148</v>
      </c>
      <c r="B19" s="51" t="s">
        <v>54</v>
      </c>
      <c r="C19" s="22" t="s">
        <v>71</v>
      </c>
      <c r="D19" s="22" t="s">
        <v>40</v>
      </c>
      <c r="E19" s="70" t="s">
        <v>18</v>
      </c>
      <c r="F19" s="71"/>
      <c r="G19" s="72"/>
      <c r="H19" s="46">
        <v>100000</v>
      </c>
      <c r="I19" s="53" t="s">
        <v>72</v>
      </c>
    </row>
    <row r="20" spans="1:10" ht="22" customHeight="1">
      <c r="A20" s="63">
        <v>46146</v>
      </c>
      <c r="B20" s="51" t="s">
        <v>54</v>
      </c>
      <c r="C20" s="22" t="s">
        <v>73</v>
      </c>
      <c r="D20" s="22" t="s">
        <v>74</v>
      </c>
      <c r="E20" s="70" t="s">
        <v>18</v>
      </c>
      <c r="F20" s="71"/>
      <c r="G20" s="72"/>
      <c r="H20" s="46">
        <v>100000</v>
      </c>
      <c r="I20" s="53" t="s">
        <v>75</v>
      </c>
    </row>
    <row r="21" spans="1:10" ht="13" customHeight="1">
      <c r="A21" s="20"/>
      <c r="B21" s="21"/>
      <c r="C21" s="52"/>
      <c r="D21" s="21"/>
      <c r="E21" s="70"/>
      <c r="F21" s="71"/>
      <c r="G21" s="72"/>
      <c r="H21" s="46"/>
      <c r="I21" s="53"/>
    </row>
    <row r="22" spans="1:10" ht="13" customHeight="1">
      <c r="A22" s="20"/>
      <c r="B22" s="21"/>
      <c r="C22" s="52"/>
      <c r="D22" s="21"/>
      <c r="E22" s="70"/>
      <c r="F22" s="71"/>
      <c r="G22" s="72"/>
      <c r="H22" s="46"/>
      <c r="I22" s="53"/>
    </row>
    <row r="23" spans="1:10" ht="13" customHeight="1">
      <c r="A23" s="20"/>
      <c r="B23" s="21"/>
      <c r="C23" s="52"/>
      <c r="D23" s="21"/>
      <c r="E23" s="70"/>
      <c r="F23" s="71"/>
      <c r="G23" s="72"/>
      <c r="H23" s="46"/>
      <c r="I23" s="53"/>
    </row>
    <row r="24" spans="1:10" ht="13" customHeight="1">
      <c r="A24" s="20"/>
      <c r="B24" s="21"/>
      <c r="C24" s="52"/>
      <c r="D24" s="21"/>
      <c r="E24" s="70"/>
      <c r="F24" s="71"/>
      <c r="G24" s="72"/>
      <c r="H24" s="46"/>
      <c r="I24" s="53"/>
    </row>
    <row r="25" spans="1:10" ht="16" customHeight="1">
      <c r="A25" s="20"/>
      <c r="B25" s="21"/>
      <c r="C25" s="52"/>
      <c r="D25" s="21"/>
      <c r="E25" s="70"/>
      <c r="F25" s="71"/>
      <c r="G25" s="72"/>
      <c r="H25" s="46"/>
      <c r="I25" s="53"/>
    </row>
    <row r="26" spans="1:10" ht="16" customHeight="1">
      <c r="A26" s="20"/>
      <c r="B26" s="21"/>
      <c r="C26" s="22"/>
      <c r="D26" s="22"/>
      <c r="E26" s="70"/>
      <c r="F26" s="71"/>
      <c r="G26" s="72"/>
      <c r="H26" s="46"/>
      <c r="I26" s="53"/>
    </row>
    <row r="27" spans="1:10" ht="16" customHeight="1">
      <c r="A27" s="20"/>
      <c r="B27" s="21"/>
      <c r="C27" s="22"/>
      <c r="D27" s="22"/>
      <c r="E27" s="70"/>
      <c r="F27" s="71"/>
      <c r="G27" s="72"/>
      <c r="H27" s="46"/>
      <c r="I27" s="53"/>
      <c r="J27" s="55"/>
    </row>
    <row r="28" spans="1:10" ht="16" customHeight="1">
      <c r="A28" s="20"/>
      <c r="B28" s="21"/>
      <c r="C28" s="52"/>
      <c r="D28" s="21"/>
      <c r="E28" s="70"/>
      <c r="F28" s="71"/>
      <c r="G28" s="72"/>
      <c r="H28" s="46"/>
      <c r="I28" s="53"/>
    </row>
    <row r="29" spans="1:10" ht="16" customHeight="1">
      <c r="A29" s="20"/>
      <c r="B29" s="21"/>
      <c r="C29" s="52"/>
      <c r="D29" s="21"/>
      <c r="E29" s="70"/>
      <c r="F29" s="71"/>
      <c r="G29" s="72"/>
      <c r="H29" s="46"/>
      <c r="I29" s="53"/>
    </row>
    <row r="30" spans="1:10" ht="16" customHeight="1">
      <c r="A30" s="20"/>
      <c r="B30" s="21"/>
      <c r="C30" s="52"/>
      <c r="D30" s="21"/>
      <c r="E30" s="70"/>
      <c r="F30" s="71"/>
      <c r="G30" s="72"/>
      <c r="H30" s="46"/>
      <c r="I30" s="53"/>
    </row>
    <row r="31" spans="1:10" ht="16" customHeight="1">
      <c r="A31" s="20"/>
      <c r="B31" s="21"/>
      <c r="C31" s="22"/>
      <c r="D31" s="22"/>
      <c r="E31" s="70"/>
      <c r="F31" s="71"/>
      <c r="G31" s="72"/>
      <c r="H31" s="46"/>
      <c r="I31" s="53"/>
    </row>
    <row r="32" spans="1:10" ht="16" customHeight="1">
      <c r="A32" s="20"/>
      <c r="B32" s="21"/>
      <c r="C32" s="52"/>
      <c r="D32" s="21"/>
      <c r="E32" s="70"/>
      <c r="F32" s="71"/>
      <c r="G32" s="72"/>
      <c r="H32" s="46"/>
      <c r="I32" s="53"/>
    </row>
    <row r="33" spans="1:9" ht="16" customHeight="1">
      <c r="A33" s="20"/>
      <c r="B33" s="21"/>
      <c r="C33" s="52"/>
      <c r="D33" s="21"/>
      <c r="E33" s="70"/>
      <c r="F33" s="71"/>
      <c r="G33" s="72"/>
      <c r="H33" s="46"/>
      <c r="I33" s="53"/>
    </row>
    <row r="34" spans="1:9" ht="16" customHeight="1">
      <c r="A34" s="20"/>
      <c r="B34" s="21"/>
      <c r="C34" s="52"/>
      <c r="D34" s="21"/>
      <c r="E34" s="70"/>
      <c r="F34" s="71"/>
      <c r="G34" s="72"/>
      <c r="H34" s="46"/>
      <c r="I34" s="53"/>
    </row>
    <row r="35" spans="1:9" ht="16" customHeight="1">
      <c r="A35" s="20"/>
      <c r="B35" s="21"/>
      <c r="C35" s="52"/>
      <c r="D35" s="21"/>
      <c r="E35" s="70"/>
      <c r="F35" s="71"/>
      <c r="G35" s="72"/>
      <c r="H35" s="46"/>
      <c r="I35" s="53"/>
    </row>
    <row r="36" spans="1:9" ht="16" customHeight="1">
      <c r="A36" s="20"/>
      <c r="B36" s="21"/>
      <c r="C36" s="22"/>
      <c r="D36" s="22"/>
      <c r="E36" s="70"/>
      <c r="F36" s="71"/>
      <c r="G36" s="72"/>
      <c r="H36" s="46"/>
      <c r="I36" s="53"/>
    </row>
    <row r="37" spans="1:9" ht="16" customHeight="1">
      <c r="A37" s="20"/>
      <c r="B37" s="21"/>
      <c r="C37" s="22"/>
      <c r="D37" s="22"/>
      <c r="E37" s="70"/>
      <c r="F37" s="71"/>
      <c r="G37" s="72"/>
      <c r="H37" s="46"/>
      <c r="I37" s="53"/>
    </row>
    <row r="38" spans="1:9" ht="16" customHeight="1">
      <c r="A38" s="20"/>
      <c r="B38" s="21"/>
      <c r="C38" s="22"/>
      <c r="D38" s="22"/>
      <c r="E38" s="70"/>
      <c r="F38" s="71"/>
      <c r="G38" s="72"/>
      <c r="H38" s="46"/>
      <c r="I38" s="53"/>
    </row>
    <row r="39" spans="1:9" ht="16" customHeight="1">
      <c r="A39" s="20"/>
      <c r="B39" s="21"/>
      <c r="C39" s="52"/>
      <c r="D39" s="21"/>
      <c r="E39" s="70"/>
      <c r="F39" s="71"/>
      <c r="G39" s="72"/>
      <c r="H39" s="46"/>
      <c r="I39" s="53"/>
    </row>
    <row r="40" spans="1:9" ht="16" customHeight="1">
      <c r="A40" s="20"/>
      <c r="B40" s="21"/>
      <c r="C40" s="52"/>
      <c r="D40" s="21"/>
      <c r="E40" s="70"/>
      <c r="F40" s="71"/>
      <c r="G40" s="72"/>
      <c r="H40" s="46"/>
      <c r="I40" s="53"/>
    </row>
    <row r="41" spans="1:9" ht="16" customHeight="1">
      <c r="A41" s="20"/>
      <c r="B41" s="21"/>
      <c r="C41" s="52"/>
      <c r="D41" s="21"/>
      <c r="E41" s="70"/>
      <c r="F41" s="71"/>
      <c r="G41" s="72"/>
      <c r="H41" s="46"/>
      <c r="I41" s="53"/>
    </row>
    <row r="42" spans="1:9" ht="16" customHeight="1">
      <c r="A42" s="20"/>
      <c r="B42" s="21"/>
      <c r="C42" s="22"/>
      <c r="D42" s="22"/>
      <c r="E42" s="70"/>
      <c r="F42" s="71"/>
      <c r="G42" s="72"/>
      <c r="H42" s="46"/>
      <c r="I42" s="53"/>
    </row>
    <row r="43" spans="1:9" ht="16" customHeight="1">
      <c r="A43" s="20"/>
      <c r="B43" s="21"/>
      <c r="C43" s="52"/>
      <c r="D43" s="21"/>
      <c r="E43" s="70"/>
      <c r="F43" s="71"/>
      <c r="G43" s="72"/>
      <c r="H43" s="46"/>
      <c r="I43" s="53"/>
    </row>
    <row r="44" spans="1:9" ht="16" customHeight="1">
      <c r="A44" s="20"/>
      <c r="B44" s="21"/>
      <c r="C44" s="52"/>
      <c r="D44" s="21"/>
      <c r="E44" s="70"/>
      <c r="F44" s="71"/>
      <c r="G44" s="72"/>
      <c r="H44" s="46"/>
      <c r="I44" s="53"/>
    </row>
    <row r="45" spans="1:9" ht="16" customHeight="1">
      <c r="A45" s="20"/>
      <c r="B45" s="21"/>
      <c r="C45" s="52"/>
      <c r="D45" s="21"/>
      <c r="E45" s="70"/>
      <c r="F45" s="71"/>
      <c r="G45" s="72"/>
      <c r="H45" s="46"/>
      <c r="I45" s="53"/>
    </row>
    <row r="46" spans="1:9" ht="16" customHeight="1">
      <c r="A46" s="20"/>
      <c r="B46" s="21"/>
      <c r="C46" s="52"/>
      <c r="D46" s="21"/>
      <c r="E46" s="70"/>
      <c r="F46" s="71"/>
      <c r="G46" s="72"/>
      <c r="H46" s="46"/>
      <c r="I46" s="53"/>
    </row>
    <row r="47" spans="1:9" ht="16" customHeight="1">
      <c r="A47" s="23"/>
      <c r="B47" s="21"/>
      <c r="C47" s="52"/>
      <c r="D47" s="21"/>
      <c r="E47" s="70"/>
      <c r="F47" s="71"/>
      <c r="G47" s="72"/>
      <c r="H47" s="46"/>
      <c r="I47" s="53"/>
    </row>
    <row r="48" spans="1:9" ht="16" customHeight="1">
      <c r="A48" s="23"/>
      <c r="B48" s="21"/>
      <c r="C48" s="52"/>
      <c r="D48" s="21"/>
      <c r="E48" s="70"/>
      <c r="F48" s="71"/>
      <c r="G48" s="72"/>
      <c r="H48" s="46"/>
      <c r="I48" s="53"/>
    </row>
    <row r="49" spans="1:9" ht="16" customHeight="1">
      <c r="A49" s="23"/>
      <c r="B49" s="21"/>
      <c r="C49" s="52"/>
      <c r="D49" s="21"/>
      <c r="E49" s="70"/>
      <c r="F49" s="71"/>
      <c r="G49" s="72"/>
      <c r="H49" s="46"/>
      <c r="I49" s="53"/>
    </row>
    <row r="50" spans="1:9" ht="16" customHeight="1">
      <c r="A50" s="23"/>
      <c r="B50" s="21"/>
      <c r="C50" s="52"/>
      <c r="D50" s="21"/>
      <c r="E50" s="70"/>
      <c r="F50" s="71"/>
      <c r="G50" s="72"/>
      <c r="H50" s="46"/>
      <c r="I50" s="53"/>
    </row>
    <row r="51" spans="1:9" ht="16" customHeight="1">
      <c r="A51" s="23"/>
      <c r="B51" s="21"/>
      <c r="C51" s="52"/>
      <c r="D51" s="21"/>
      <c r="E51" s="70"/>
      <c r="F51" s="71"/>
      <c r="G51" s="72"/>
      <c r="H51" s="46"/>
      <c r="I51" s="53"/>
    </row>
    <row r="52" spans="1:9">
      <c r="A52" s="2"/>
      <c r="B52" s="1"/>
      <c r="C52" s="56"/>
      <c r="D52" s="1"/>
      <c r="E52" s="88"/>
      <c r="F52" s="71"/>
      <c r="G52" s="72"/>
      <c r="H52" s="24"/>
      <c r="I52" s="53"/>
    </row>
    <row r="53" spans="1:9" ht="16" customHeight="1" thickBot="1">
      <c r="A53" s="79"/>
      <c r="B53" s="89"/>
      <c r="C53" s="81"/>
      <c r="D53" s="57" t="s">
        <v>41</v>
      </c>
      <c r="E53" s="3"/>
      <c r="F53" s="3"/>
      <c r="G53" s="4"/>
      <c r="H53" s="5">
        <f>SUM(H9:H52)</f>
        <v>1229658</v>
      </c>
    </row>
    <row r="54" spans="1:9" ht="29" customHeight="1" thickTop="1">
      <c r="A54" s="80"/>
      <c r="B54" s="82"/>
      <c r="C54" s="82"/>
      <c r="D54" s="58" t="s">
        <v>42</v>
      </c>
      <c r="E54" s="6"/>
      <c r="F54" s="6"/>
      <c r="G54" s="7"/>
      <c r="H54" s="8"/>
    </row>
    <row r="55" spans="1:9" ht="16" customHeight="1" thickBot="1">
      <c r="A55" s="9" t="s">
        <v>43</v>
      </c>
      <c r="B55" s="10" t="s">
        <v>44</v>
      </c>
      <c r="C55" s="11" t="s">
        <v>45</v>
      </c>
      <c r="D55" s="59" t="s">
        <v>46</v>
      </c>
      <c r="E55" s="12"/>
      <c r="F55" s="12"/>
      <c r="G55" s="13"/>
      <c r="H55" s="14"/>
    </row>
    <row r="56" spans="1:9" ht="16" customHeight="1" thickBot="1">
      <c r="A56" s="60"/>
      <c r="B56" s="60"/>
      <c r="C56" s="60"/>
      <c r="D56" s="60"/>
      <c r="E56" s="60"/>
      <c r="F56" s="60"/>
      <c r="G56" s="60"/>
      <c r="H56" s="61"/>
    </row>
    <row r="57" spans="1:9" ht="16" customHeight="1">
      <c r="A57" s="62" t="s">
        <v>47</v>
      </c>
      <c r="B57" s="15"/>
      <c r="C57" s="109" t="s">
        <v>48</v>
      </c>
      <c r="D57" s="110"/>
      <c r="E57" s="111"/>
    </row>
    <row r="58" spans="1:9" ht="17" customHeight="1" thickBot="1">
      <c r="A58" s="116" t="s">
        <v>49</v>
      </c>
      <c r="B58" s="117"/>
      <c r="C58" s="16" t="s">
        <v>50</v>
      </c>
      <c r="D58" s="112" t="s">
        <v>51</v>
      </c>
      <c r="E58" s="113"/>
    </row>
    <row r="59" spans="1:9" ht="18" customHeight="1" thickTop="1" thickBot="1">
      <c r="A59" s="90" t="s">
        <v>52</v>
      </c>
      <c r="B59" s="91"/>
      <c r="C59" s="17">
        <v>0</v>
      </c>
      <c r="D59" s="104"/>
      <c r="E59" s="105"/>
    </row>
    <row r="60" spans="1:9" ht="16" customHeight="1">
      <c r="A60" s="107" t="s">
        <v>35</v>
      </c>
      <c r="B60" s="108"/>
      <c r="C60" s="18">
        <f>SUMIF(B9:B19,"Alojamiento",H9:H19)</f>
        <v>428400</v>
      </c>
      <c r="D60" s="68">
        <f t="shared" ref="D60:D67" si="0">C60/30</f>
        <v>14280</v>
      </c>
      <c r="E60" s="69"/>
    </row>
    <row r="61" spans="1:9" ht="16" customHeight="1">
      <c r="A61" s="83" t="s">
        <v>32</v>
      </c>
      <c r="B61" s="84"/>
      <c r="C61" s="18">
        <f>SUMIF(B9:B52,"Atenciones",H9:H52)</f>
        <v>401258</v>
      </c>
      <c r="D61" s="68">
        <f t="shared" si="0"/>
        <v>13375.266666666666</v>
      </c>
      <c r="E61" s="69"/>
    </row>
    <row r="62" spans="1:9" ht="16" customHeight="1">
      <c r="A62" s="83" t="s">
        <v>53</v>
      </c>
      <c r="B62" s="84"/>
      <c r="C62" s="18">
        <f>SUMIF(B9:B12,"Celular",H9:H12)</f>
        <v>0</v>
      </c>
      <c r="D62" s="68">
        <f t="shared" si="0"/>
        <v>0</v>
      </c>
      <c r="E62" s="69"/>
    </row>
    <row r="63" spans="1:9" ht="16" customHeight="1">
      <c r="A63" s="83" t="s">
        <v>54</v>
      </c>
      <c r="B63" s="84"/>
      <c r="C63" s="18">
        <f>SUMIF(B9:B22,"Gastos vehículo",H9:H22)</f>
        <v>400000</v>
      </c>
      <c r="D63" s="68">
        <f t="shared" si="0"/>
        <v>13333.333333333334</v>
      </c>
      <c r="E63" s="69"/>
    </row>
    <row r="64" spans="1:9" ht="16" customHeight="1">
      <c r="A64" s="83" t="s">
        <v>55</v>
      </c>
      <c r="B64" s="84"/>
      <c r="C64" s="18">
        <f>SUMIF(B9:B11,"Manutención",H9:H11)</f>
        <v>0</v>
      </c>
      <c r="D64" s="68">
        <f t="shared" si="0"/>
        <v>0</v>
      </c>
      <c r="E64" s="69"/>
    </row>
    <row r="65" spans="1:5" ht="16" customHeight="1">
      <c r="A65" s="83" t="s">
        <v>56</v>
      </c>
      <c r="B65" s="84"/>
      <c r="C65" s="18">
        <f>SUMIF(B9:B12,"Mensajería",H9:H12)</f>
        <v>0</v>
      </c>
      <c r="D65" s="68">
        <f t="shared" si="0"/>
        <v>0</v>
      </c>
      <c r="E65" s="69"/>
    </row>
    <row r="66" spans="1:5" ht="16" customHeight="1">
      <c r="A66" s="83" t="s">
        <v>57</v>
      </c>
      <c r="B66" s="84"/>
      <c r="C66" s="18">
        <f ca="1">SUMIF(B9:B46,"Peajes",H9:H13)</f>
        <v>0</v>
      </c>
      <c r="D66" s="68">
        <f t="shared" ca="1" si="0"/>
        <v>0</v>
      </c>
      <c r="E66" s="69"/>
    </row>
    <row r="67" spans="1:5" ht="17" customHeight="1" thickBot="1">
      <c r="A67" s="93" t="s">
        <v>58</v>
      </c>
      <c r="B67" s="94"/>
      <c r="C67" s="18">
        <f>SUMIF(B9:B14,"Transporte",H9:H14)</f>
        <v>0</v>
      </c>
      <c r="D67" s="68">
        <f t="shared" si="0"/>
        <v>0</v>
      </c>
      <c r="E67" s="69"/>
    </row>
    <row r="68" spans="1:5" ht="18" customHeight="1" thickTop="1" thickBot="1">
      <c r="A68" s="103" t="s">
        <v>59</v>
      </c>
      <c r="B68" s="91"/>
      <c r="C68" s="19">
        <f ca="1">SUM(C60:C67)</f>
        <v>1229658</v>
      </c>
      <c r="D68" s="106">
        <f ca="1">SUM(D60:E67)</f>
        <v>40988.6</v>
      </c>
      <c r="E68" s="105"/>
    </row>
  </sheetData>
  <mergeCells count="82">
    <mergeCell ref="E44:G44"/>
    <mergeCell ref="D61:E61"/>
    <mergeCell ref="D58:E58"/>
    <mergeCell ref="C6:D6"/>
    <mergeCell ref="A62:B62"/>
    <mergeCell ref="E12:G12"/>
    <mergeCell ref="E29:G29"/>
    <mergeCell ref="E38:G38"/>
    <mergeCell ref="D7:E7"/>
    <mergeCell ref="E32:G32"/>
    <mergeCell ref="E9:G9"/>
    <mergeCell ref="E25:G25"/>
    <mergeCell ref="A58:B58"/>
    <mergeCell ref="E47:G47"/>
    <mergeCell ref="A68:B68"/>
    <mergeCell ref="E14:G14"/>
    <mergeCell ref="E24:G24"/>
    <mergeCell ref="D59:E59"/>
    <mergeCell ref="D68:E68"/>
    <mergeCell ref="E15:G15"/>
    <mergeCell ref="E17:G17"/>
    <mergeCell ref="D60:E60"/>
    <mergeCell ref="A60:B60"/>
    <mergeCell ref="E40:G40"/>
    <mergeCell ref="D62:E62"/>
    <mergeCell ref="A66:B66"/>
    <mergeCell ref="C57:E57"/>
    <mergeCell ref="A65:B65"/>
    <mergeCell ref="E49:G49"/>
    <mergeCell ref="D67:E67"/>
    <mergeCell ref="A1:B1"/>
    <mergeCell ref="D63:E63"/>
    <mergeCell ref="A67:B67"/>
    <mergeCell ref="E34:G34"/>
    <mergeCell ref="E11:G11"/>
    <mergeCell ref="A63:B63"/>
    <mergeCell ref="E43:G43"/>
    <mergeCell ref="E20:G20"/>
    <mergeCell ref="E35:G35"/>
    <mergeCell ref="B3:C4"/>
    <mergeCell ref="E13:G13"/>
    <mergeCell ref="E21:G21"/>
    <mergeCell ref="D65:E65"/>
    <mergeCell ref="F2:I2"/>
    <mergeCell ref="B2:C2"/>
    <mergeCell ref="D64:E64"/>
    <mergeCell ref="E52:G52"/>
    <mergeCell ref="B53:B54"/>
    <mergeCell ref="A61:B61"/>
    <mergeCell ref="A59:B59"/>
    <mergeCell ref="A3:A4"/>
    <mergeCell ref="A53:A54"/>
    <mergeCell ref="C53:C54"/>
    <mergeCell ref="A64:B64"/>
    <mergeCell ref="E23:G23"/>
    <mergeCell ref="E51:G51"/>
    <mergeCell ref="E48:G48"/>
    <mergeCell ref="F5:G5"/>
    <mergeCell ref="E30:G30"/>
    <mergeCell ref="E39:G39"/>
    <mergeCell ref="E45:G45"/>
    <mergeCell ref="E41:G41"/>
    <mergeCell ref="E22:G22"/>
    <mergeCell ref="E31:G31"/>
    <mergeCell ref="E8:G8"/>
    <mergeCell ref="E16:G16"/>
    <mergeCell ref="C1:I1"/>
    <mergeCell ref="D66:E66"/>
    <mergeCell ref="E50:G50"/>
    <mergeCell ref="E37:G37"/>
    <mergeCell ref="E46:G46"/>
    <mergeCell ref="E27:G27"/>
    <mergeCell ref="E36:G36"/>
    <mergeCell ref="D2:E2"/>
    <mergeCell ref="E10:G10"/>
    <mergeCell ref="I3:I7"/>
    <mergeCell ref="E33:G33"/>
    <mergeCell ref="E42:G42"/>
    <mergeCell ref="E19:G19"/>
    <mergeCell ref="E26:G26"/>
    <mergeCell ref="E28:G28"/>
    <mergeCell ref="E18:G18"/>
  </mergeCells>
  <dataValidations count="3">
    <dataValidation type="list" allowBlank="1" showInputMessage="1" showErrorMessage="1" sqref="B9:B17 B21:B52" xr:uid="{00000000-0002-0000-0000-000000000000}">
      <formula1>$A$60:$A$67</formula1>
    </dataValidation>
    <dataValidation type="list" allowBlank="1" showInputMessage="1" showErrorMessage="1" sqref="E9:E51" xr:uid="{00000000-0002-0000-0000-000001000000}">
      <formula1>"COP,USD,REAL,BVF"</formula1>
    </dataValidation>
    <dataValidation type="list" allowBlank="1" showInputMessage="1" showErrorMessage="1" sqref="B18:B20" xr:uid="{B94DCAE8-E00D-7049-BC94-7FA4EBF6E5C5}">
      <formula1>$A$61:$A$68</formula1>
    </dataValidation>
  </dataValidations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FINANCIERA</dc:creator>
  <cp:lastModifiedBy>Sebastian Cardona</cp:lastModifiedBy>
  <dcterms:created xsi:type="dcterms:W3CDTF">2025-05-05T18:55:16Z</dcterms:created>
  <dcterms:modified xsi:type="dcterms:W3CDTF">2026-05-14T21:42:38Z</dcterms:modified>
</cp:coreProperties>
</file>